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navlatpate/Documents/"/>
    </mc:Choice>
  </mc:AlternateContent>
  <xr:revisionPtr revIDLastSave="0" documentId="8_{CCA3BC2A-516C-BD43-AC82-DC0802F0AD6A}" xr6:coauthVersionLast="47" xr6:coauthVersionMax="47" xr10:uidLastSave="{00000000-0000-0000-0000-000000000000}"/>
  <bookViews>
    <workbookView xWindow="0" yWindow="760" windowWidth="29400" windowHeight="16980" activeTab="2" xr2:uid="{D7E7B6A1-DB85-5348-B52A-4A4035CD3AC1}"/>
  </bookViews>
  <sheets>
    <sheet name="Risk Register" sheetId="1" r:id="rId1"/>
    <sheet name="Risk Scoring" sheetId="2" r:id="rId2"/>
    <sheet name="Risk Matrix" sheetId="4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</calcChain>
</file>

<file path=xl/sharedStrings.xml><?xml version="1.0" encoding="utf-8"?>
<sst xmlns="http://schemas.openxmlformats.org/spreadsheetml/2006/main" count="62" uniqueCount="55">
  <si>
    <t>Risk ID</t>
  </si>
  <si>
    <t>Asset</t>
  </si>
  <si>
    <t>Threat</t>
  </si>
  <si>
    <t>Vulnerability</t>
  </si>
  <si>
    <t>Threat Source</t>
  </si>
  <si>
    <t>Likelihood (1–5)</t>
  </si>
  <si>
    <t>Impact (1–5)</t>
  </si>
  <si>
    <t>Risk Score</t>
  </si>
  <si>
    <t>Existing Controls</t>
  </si>
  <si>
    <t>Risk Treatment</t>
  </si>
  <si>
    <t>Residual Risk</t>
  </si>
  <si>
    <t>Risk Owner</t>
  </si>
  <si>
    <t>R-01</t>
  </si>
  <si>
    <t>Customer accounts</t>
  </si>
  <si>
    <t>Credential stuffing attack</t>
  </si>
  <si>
    <t>Reused passwords and weak credential hygiene</t>
  </si>
  <si>
    <t>External attacker</t>
  </si>
  <si>
    <t>MFA, password complexity policies</t>
  </si>
  <si>
    <t>Mitigate</t>
  </si>
  <si>
    <t>Medium</t>
  </si>
  <si>
    <t>Security Team</t>
  </si>
  <si>
    <t>R-02</t>
  </si>
  <si>
    <t>Payment APIs</t>
  </si>
  <si>
    <t>API abuse leading to fraud</t>
  </si>
  <si>
    <t>Insufficient rate limiting and monitoring</t>
  </si>
  <si>
    <t>API authentication, logging</t>
  </si>
  <si>
    <t>Engineering Team</t>
  </si>
  <si>
    <t>R-03</t>
  </si>
  <si>
    <t>Customer PII</t>
  </si>
  <si>
    <t>Insider data exfiltration</t>
  </si>
  <si>
    <t>Excessive access privileges</t>
  </si>
  <si>
    <t>Malicious insider</t>
  </si>
  <si>
    <t>Role-based access control</t>
  </si>
  <si>
    <t>Compliance Team</t>
  </si>
  <si>
    <t>Risk Level</t>
  </si>
  <si>
    <t>Description</t>
  </si>
  <si>
    <t>1–5</t>
  </si>
  <si>
    <t>Low</t>
  </si>
  <si>
    <t>Acceptable risk with minimal impact</t>
  </si>
  <si>
    <t>Requires monitoring and mitigation</t>
  </si>
  <si>
    <t>15–25</t>
  </si>
  <si>
    <t>High</t>
  </si>
  <si>
    <t>Immediate mitigation required</t>
  </si>
  <si>
    <t>Likelihood 1</t>
  </si>
  <si>
    <t>Likelihood 2</t>
  </si>
  <si>
    <t>Likelihood 3</t>
  </si>
  <si>
    <t>Likelihood 4</t>
  </si>
  <si>
    <t>Likelihood 5</t>
  </si>
  <si>
    <t>Impact 1</t>
  </si>
  <si>
    <t>Impact 2</t>
  </si>
  <si>
    <t>Impact 3</t>
  </si>
  <si>
    <t>Impact 4</t>
  </si>
  <si>
    <t>Impact 5</t>
  </si>
  <si>
    <t>→ Likelihood</t>
  </si>
  <si>
    <t>↑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</si>
</sst>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D552-10A1-1643-B260-C58BE9AFA607}">
  <dimension ref="A1:L4"/>
  <sheetViews>
    <sheetView workbookViewId="0">
      <selection activeCell="I15" sqref="I15"/>
    </sheetView>
  </sheetViews>
  <sheetFormatPr baseColWidth="10" defaultRowHeight="16" x14ac:dyDescent="0.2"/>
  <cols>
    <col min="1" max="1" width="14.6640625" style="1" bestFit="1" customWidth="1"/>
    <col min="2" max="2" width="17.1640625" style="1" bestFit="1" customWidth="1"/>
    <col min="3" max="3" width="21.83203125" style="1" bestFit="1" customWidth="1"/>
    <col min="4" max="4" width="39.83203125" style="1" bestFit="1" customWidth="1"/>
    <col min="5" max="5" width="15" style="1" bestFit="1" customWidth="1"/>
    <col min="6" max="6" width="13.83203125" style="1" bestFit="1" customWidth="1"/>
    <col min="7" max="8" width="10.83203125" style="1"/>
    <col min="9" max="9" width="29.5" style="1" bestFit="1" customWidth="1"/>
    <col min="10" max="10" width="13.1640625" style="1" bestFit="1" customWidth="1"/>
    <col min="11" max="11" width="11.83203125" style="1" bestFit="1" customWidth="1"/>
    <col min="12" max="12" width="15.6640625" style="1" bestFit="1" customWidth="1"/>
    <col min="13" max="16384" width="10.83203125" style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4</v>
      </c>
      <c r="G2" s="1">
        <v>5</v>
      </c>
      <c r="H2" s="1">
        <f>F2*G2</f>
        <v>20</v>
      </c>
      <c r="I2" s="1" t="s">
        <v>17</v>
      </c>
      <c r="J2" s="1" t="s">
        <v>18</v>
      </c>
      <c r="K2" s="1" t="s">
        <v>19</v>
      </c>
      <c r="L2" s="1" t="s">
        <v>20</v>
      </c>
    </row>
    <row r="3" spans="1:12" x14ac:dyDescent="0.2">
      <c r="A3" s="1" t="s">
        <v>21</v>
      </c>
      <c r="B3" s="1" t="s">
        <v>22</v>
      </c>
      <c r="C3" s="1" t="s">
        <v>23</v>
      </c>
      <c r="D3" s="1" t="s">
        <v>24</v>
      </c>
      <c r="E3" s="1" t="s">
        <v>16</v>
      </c>
      <c r="F3" s="1">
        <v>3</v>
      </c>
      <c r="G3" s="1">
        <v>5</v>
      </c>
      <c r="H3" s="1">
        <f>F3*G3</f>
        <v>15</v>
      </c>
      <c r="I3" s="1" t="s">
        <v>25</v>
      </c>
      <c r="J3" s="1" t="s">
        <v>18</v>
      </c>
      <c r="K3" s="1" t="s">
        <v>19</v>
      </c>
      <c r="L3" s="1" t="s">
        <v>26</v>
      </c>
    </row>
    <row r="4" spans="1:12" x14ac:dyDescent="0.2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2</v>
      </c>
      <c r="G4" s="1">
        <v>5</v>
      </c>
      <c r="H4" s="1">
        <f>F4*G4</f>
        <v>10</v>
      </c>
      <c r="I4" s="1" t="s">
        <v>32</v>
      </c>
      <c r="J4" s="1" t="s">
        <v>18</v>
      </c>
      <c r="K4" s="1" t="s">
        <v>19</v>
      </c>
      <c r="L4" s="1" t="s">
        <v>33</v>
      </c>
    </row>
  </sheetData>
  <conditionalFormatting sqref="H2:H10">
    <cfRule type="cellIs" dxfId="1" priority="3" operator="greaterThanOrEqual">
      <formula>15</formula>
    </cfRule>
    <cfRule type="cellIs" dxfId="2" priority="2" operator="between">
      <formula>6</formula>
      <formula>12</formula>
    </cfRule>
    <cfRule type="cellIs" dxfId="0" priority="1" operator="lessThanOrEqual">
      <formula>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D0C84-4998-6840-B0A6-F4E343FC43A0}">
  <dimension ref="A1:K1"/>
  <sheetViews>
    <sheetView workbookViewId="0">
      <selection activeCell="H7" sqref="H7"/>
    </sheetView>
  </sheetViews>
  <sheetFormatPr baseColWidth="10" defaultRowHeight="16" x14ac:dyDescent="0.2"/>
  <cols>
    <col min="6" max="6" width="30.6640625" bestFit="1" customWidth="1"/>
    <col min="8" max="8" width="29.6640625" bestFit="1" customWidth="1"/>
    <col min="11" max="11" width="25.83203125" bestFit="1" customWidth="1"/>
  </cols>
  <sheetData>
    <row r="1" spans="1:11" x14ac:dyDescent="0.2">
      <c r="A1" t="s">
        <v>7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19</v>
      </c>
      <c r="H1" t="s">
        <v>39</v>
      </c>
      <c r="I1" t="s">
        <v>40</v>
      </c>
      <c r="J1" t="s">
        <v>41</v>
      </c>
      <c r="K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1CF7-76C0-0043-8524-819DC55DC983}">
  <dimension ref="A1:F7"/>
  <sheetViews>
    <sheetView tabSelected="1" workbookViewId="0">
      <selection activeCell="L17" sqref="L17"/>
    </sheetView>
  </sheetViews>
  <sheetFormatPr baseColWidth="10" defaultRowHeight="16" x14ac:dyDescent="0.2"/>
  <sheetData>
    <row r="1" spans="1:6" x14ac:dyDescent="0.2">
      <c r="B1" t="s">
        <v>43</v>
      </c>
      <c r="C1" t="s">
        <v>44</v>
      </c>
      <c r="D1" t="s">
        <v>45</v>
      </c>
      <c r="E1" t="s">
        <v>46</v>
      </c>
      <c r="F1" t="s">
        <v>47</v>
      </c>
    </row>
    <row r="2" spans="1:6" x14ac:dyDescent="0.2">
      <c r="A2" t="s">
        <v>48</v>
      </c>
    </row>
    <row r="3" spans="1:6" x14ac:dyDescent="0.2">
      <c r="A3" t="s">
        <v>49</v>
      </c>
    </row>
    <row r="4" spans="1:6" x14ac:dyDescent="0.2">
      <c r="A4" t="s">
        <v>50</v>
      </c>
    </row>
    <row r="5" spans="1:6" x14ac:dyDescent="0.2">
      <c r="A5" t="s">
        <v>51</v>
      </c>
    </row>
    <row r="6" spans="1:6" x14ac:dyDescent="0.2">
      <c r="A6" t="s">
        <v>52</v>
      </c>
    </row>
    <row r="7" spans="1:6" x14ac:dyDescent="0.2">
      <c r="A7" t="s">
        <v>54</v>
      </c>
      <c r="B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Risk Scoring</vt:lpstr>
      <vt:lpstr>Risk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Latpate, Abhinav Bhausaheb</dc:creator>
  <cp:lastModifiedBy>Latpate, Abhinav Bhausaheb</cp:lastModifiedBy>
  <dcterms:created xsi:type="dcterms:W3CDTF">2026-01-03T19:49:26Z</dcterms:created>
  <dcterms:modified xsi:type="dcterms:W3CDTF">2026-01-03T23:10:07Z</dcterms:modified>
</cp:coreProperties>
</file>